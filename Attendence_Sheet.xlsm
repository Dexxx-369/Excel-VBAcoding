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v\OneDrive\Desktop\Projects for linkdin\"/>
    </mc:Choice>
  </mc:AlternateContent>
  <xr:revisionPtr revIDLastSave="0" documentId="13_ncr:1_{AA64917A-C0B0-4047-99BD-3A181595973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Result with Powerquery" sheetId="3" r:id="rId2"/>
    <sheet name="Final VBA" sheetId="6" r:id="rId3"/>
  </sheets>
  <definedNames>
    <definedName name="Entry_Status">'Final VBA'!$F$1</definedName>
    <definedName name="ExternalData_2" localSheetId="1" hidden="1">'Result with Powerquery'!$A$1:$F$22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6" l="1"/>
  <c r="K8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K9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A00CDF-B7DA-4CB7-8063-B87F68829253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803B1EA7-525B-40D2-9D99-13B5EB1D6C4A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<sst xmlns="http://schemas.openxmlformats.org/spreadsheetml/2006/main" count="136" uniqueCount="27">
  <si>
    <t>Date</t>
  </si>
  <si>
    <t>Shift</t>
  </si>
  <si>
    <t>TIME_IN</t>
  </si>
  <si>
    <t>TIME_OUT</t>
  </si>
  <si>
    <t>Day</t>
  </si>
  <si>
    <t>second shift 1</t>
  </si>
  <si>
    <t>second shift 2</t>
  </si>
  <si>
    <t>STATUS</t>
  </si>
  <si>
    <t>Start</t>
  </si>
  <si>
    <t>End</t>
  </si>
  <si>
    <t>Remarks</t>
  </si>
  <si>
    <t>Friday</t>
  </si>
  <si>
    <t>Early out</t>
  </si>
  <si>
    <t>Monday</t>
  </si>
  <si>
    <t>On Time</t>
  </si>
  <si>
    <t>Tuesday</t>
  </si>
  <si>
    <t>Wednesday</t>
  </si>
  <si>
    <t>Thursday</t>
  </si>
  <si>
    <t>Late</t>
  </si>
  <si>
    <t>on time</t>
  </si>
  <si>
    <t>Early</t>
  </si>
  <si>
    <t>Entry Status</t>
  </si>
  <si>
    <t>Exit Status</t>
  </si>
  <si>
    <t>Total Hours</t>
  </si>
  <si>
    <t>Late In</t>
  </si>
  <si>
    <t>Half Day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</si>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</sst>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quotePrefix="1"/>
    <xf numFmtId="0" fontId="0" fillId="0" borderId="0" xfId="0" applyNumberFormat="1"/>
    <xf numFmtId="165" fontId="0" fillId="0" borderId="0" xfId="0" applyNumberFormat="1"/>
    <xf numFmtId="0" fontId="0" fillId="2" borderId="0" xfId="0" applyFill="1"/>
    <xf numFmtId="21" fontId="0" fillId="0" borderId="0" xfId="0" applyNumberFormat="1"/>
    <xf numFmtId="2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21">
    <dxf>
      <numFmt numFmtId="165" formatCode="[$-F400]h:mm:ss\ AM/PM"/>
    </dxf>
    <dxf>
      <numFmt numFmtId="26" formatCode="hh:mm:ss"/>
    </dxf>
    <dxf>
      <numFmt numFmtId="26" formatCode="hh:mm:ss"/>
    </dxf>
    <dxf>
      <numFmt numFmtId="25" formatCode="hh:mm"/>
    </dxf>
    <dxf>
      <numFmt numFmtId="19" formatCode="dd/mm/yyyy"/>
    </dxf>
    <dxf>
      <numFmt numFmtId="164" formatCode="ddd"/>
    </dxf>
    <dxf>
      <fill>
        <patternFill>
          <bgColor rgb="FFFF0000"/>
        </patternFill>
      </fill>
    </dxf>
    <dxf>
      <numFmt numFmtId="30" formatCode="@"/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numFmt numFmtId="30" formatCode="@"/>
      <fill>
        <patternFill>
          <bgColor rgb="FFC00000"/>
        </patternFill>
      </fill>
    </dxf>
    <dxf>
      <fill>
        <patternFill patternType="solid">
          <fgColor indexed="64"/>
          <bgColor theme="5" tint="-0.249977111117893"/>
        </patternFill>
      </fill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19" formatCode="dd/mm/yyyy"/>
    </dxf>
    <dxf>
      <numFmt numFmtId="0" formatCode="General"/>
    </dxf>
    <dxf>
      <numFmt numFmtId="25" formatCode="hh:mm"/>
    </dxf>
    <dxf>
      <numFmt numFmtId="25" formatCode="hh:mm"/>
    </dxf>
    <dxf>
      <numFmt numFmtId="25" formatCode="hh:mm"/>
    </dxf>
    <dxf>
      <numFmt numFmtId="19" formatCode="dd/mm/yyyy"/>
    </dxf>
    <dxf>
      <numFmt numFmtId="164" formatCode="d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/>
              <a:t>ATTENDANCE</a:t>
            </a:r>
            <a:r>
              <a:rPr lang="en-IN" sz="1000" b="1" baseline="0"/>
              <a:t> </a:t>
            </a:r>
            <a:r>
              <a:rPr lang="en-IN" sz="1000" b="1"/>
              <a:t>REPORT</a:t>
            </a:r>
          </a:p>
        </c:rich>
      </c:tx>
      <c:layout>
        <c:manualLayout>
          <c:xMode val="edge"/>
          <c:yMode val="edge"/>
          <c:x val="1.3096340898564153E-2"/>
          <c:y val="3.8126361655773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 VBA'!$J$7:$J$9</c:f>
              <c:strCache>
                <c:ptCount val="3"/>
                <c:pt idx="0">
                  <c:v>Late In</c:v>
                </c:pt>
                <c:pt idx="1">
                  <c:v>Early out</c:v>
                </c:pt>
                <c:pt idx="2">
                  <c:v>Half Day</c:v>
                </c:pt>
              </c:strCache>
            </c:strRef>
          </c:cat>
          <c:val>
            <c:numRef>
              <c:f>'Final VBA'!$K$7:$K$9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F-47F9-A0AA-A11A1D8D0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7"/>
        <c:axId val="476686512"/>
        <c:axId val="445130176"/>
      </c:barChart>
      <c:catAx>
        <c:axId val="47668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0176"/>
        <c:crosses val="autoZero"/>
        <c:auto val="1"/>
        <c:lblAlgn val="ctr"/>
        <c:lblOffset val="100"/>
        <c:noMultiLvlLbl val="0"/>
      </c:catAx>
      <c:valAx>
        <c:axId val="445130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668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45720</xdr:rowOff>
    </xdr:from>
    <xdr:to>
      <xdr:col>13</xdr:col>
      <xdr:colOff>304800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C7F8E9-6B91-F5B3-A050-25177816C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850D21F-329F-4192-9C49-312EA08910F3}" autoFormatId="16" applyNumberFormats="0" applyBorderFormats="0" applyFontFormats="0" applyPatternFormats="0" applyAlignmentFormats="0" applyWidthHeightFormats="0">
  <queryTableRefresh nextId="7">
    <queryTableFields count="6">
      <queryTableField id="1" name="Day" tableColumnId="1"/>
      <queryTableField id="2" name="Date" tableColumnId="2"/>
      <queryTableField id="3" name="Shift" tableColumnId="3"/>
      <queryTableField id="4" name="TIME_IN" tableColumnId="4"/>
      <queryTableField id="5" name="TIME_OUT" tableColumnId="5"/>
      <queryTableField id="6" name="Remarks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EE843B-68D5-4E68-B863-7425C9FDF40E}" name="Table1" displayName="Table1" ref="A1:F22" totalsRowShown="0">
  <autoFilter ref="A1:F22" xr:uid="{B1EE843B-68D5-4E68-B863-7425C9FDF40E}"/>
  <tableColumns count="6">
    <tableColumn id="1" xr3:uid="{7494DE59-0CC5-4323-BEBF-7A76BD776D32}" name="Day" dataDxfId="20"/>
    <tableColumn id="2" xr3:uid="{61151829-4BF7-4ABD-B6B4-7EAB93925C1F}" name="Date" dataDxfId="19"/>
    <tableColumn id="3" xr3:uid="{996BFD2D-8171-406F-9951-0915D99088A4}" name="Shift" dataDxfId="18"/>
    <tableColumn id="4" xr3:uid="{58FA61D2-EEFC-4DF8-BC9E-4CA0B30EA671}" name="TIME_IN" dataDxfId="17"/>
    <tableColumn id="5" xr3:uid="{25C10C9D-6B81-4661-93B7-F26A0FAE1FC6}" name="TIME_OUT" dataDxfId="16"/>
    <tableColumn id="6" xr3:uid="{948FF0FE-A7F0-46BE-A908-ED879C04B4B3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3F9A45-2CAB-48A2-866B-2F5C2123C465}" name="Table1__2" displayName="Table1__2" ref="A1:F22" tableType="queryTable" totalsRowShown="0">
  <autoFilter ref="A1:F22" xr:uid="{853F9A45-2CAB-48A2-866B-2F5C2123C465}"/>
  <tableColumns count="6">
    <tableColumn id="1" xr3:uid="{DAD92D9D-D0AB-48C3-B66A-724F41D57DED}" uniqueName="1" name="Day" queryTableFieldId="1" dataDxfId="15"/>
    <tableColumn id="2" xr3:uid="{B3CE2232-7C16-485E-89A8-D48E9ED72F0E}" uniqueName="2" name="Date" queryTableFieldId="2" dataDxfId="14"/>
    <tableColumn id="3" xr3:uid="{159FB9C2-A68D-4481-86F2-069E636CF000}" uniqueName="3" name="Shift" queryTableFieldId="3" dataDxfId="13"/>
    <tableColumn id="4" xr3:uid="{75C01D53-817E-493F-8DD9-3F9B0871AA57}" uniqueName="4" name="TIME_IN" queryTableFieldId="4" dataDxfId="12"/>
    <tableColumn id="5" xr3:uid="{1E7E0019-40A2-40B4-8D55-E37A63D76703}" uniqueName="5" name="TIME_OUT" queryTableFieldId="5" dataDxfId="11"/>
    <tableColumn id="6" xr3:uid="{C940828F-DD23-451B-AA7B-36F2368444FC}" uniqueName="6" name="Remarks" queryTableFieldId="6" dataDxfId="10"/>
  </tableColumns>
  <tableStyleInfo name="TableStyleMedium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26ACC3-BA08-4242-ADAF-E7CE509722F9}" name="Table16" displayName="Table16" ref="A1:H23" totalsRowShown="0">
  <autoFilter ref="A1:H23" xr:uid="{B1EE843B-68D5-4E68-B863-7425C9FDF40E}"/>
  <tableColumns count="8">
    <tableColumn id="1" xr3:uid="{F66653AE-E62D-4D18-BDEA-0DE007ADB093}" name="Day" dataDxfId="5"/>
    <tableColumn id="2" xr3:uid="{90BF42F1-8A33-44B0-9E00-6A779DF2E34B}" name="Date" dataDxfId="4"/>
    <tableColumn id="3" xr3:uid="{140BE679-564A-4E1E-92D7-D0D12A22A1B1}" name="Shift" dataDxfId="3"/>
    <tableColumn id="4" xr3:uid="{6FC3FE9F-867D-4711-A2C6-2736BDB848A8}" name="TIME_IN" dataDxfId="2"/>
    <tableColumn id="5" xr3:uid="{F916C589-DA87-444B-B16F-343C5F55E88E}" name="TIME_OUT" dataDxfId="1"/>
    <tableColumn id="6" xr3:uid="{BA8055E9-1C76-488D-90DF-F40083BED67D}" name="Entry Status"/>
    <tableColumn id="7" xr3:uid="{BCCC1EAC-D208-48B6-838C-321760830FD3}" name="Exit Status"/>
    <tableColumn id="8" xr3:uid="{CA737661-FB9E-4794-BCFF-A7100C723532}" name="Total Hours" dataDxfId="0">
      <calculatedColumnFormula>Table16[[#This Row],[TIME_OUT]]-Table16[[#This Row],[TIME_IN]]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E30464-5936-4F50-90FD-D9DBE6C7D3EF}" name="Table6" displayName="Table6" ref="J6:K9" totalsRowShown="0">
  <autoFilter ref="J6:K9" xr:uid="{60E30464-5936-4F50-90FD-D9DBE6C7D3EF}">
    <filterColumn colId="0" hiddenButton="1"/>
    <filterColumn colId="1" hiddenButton="1"/>
  </autoFilter>
  <tableColumns count="2">
    <tableColumn id="1" xr3:uid="{07DE9B2E-C4CB-4EB5-8B43-2D602AEA41FD}" name="STATUS"/>
    <tableColumn id="2" xr3:uid="{EA582252-491D-4FF6-BC8E-B1CB93F4E191}" name="DAYS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tabSelected="1" workbookViewId="0">
      <selection activeCell="I11" sqref="I11"/>
    </sheetView>
  </sheetViews>
  <sheetFormatPr defaultRowHeight="14.4" x14ac:dyDescent="0.3"/>
  <cols>
    <col min="2" max="2" width="10.33203125" bestFit="1" customWidth="1"/>
    <col min="3" max="3" width="12.21875" bestFit="1" customWidth="1"/>
    <col min="4" max="4" width="11.5546875" customWidth="1"/>
    <col min="5" max="5" width="15.33203125" customWidth="1"/>
    <col min="6" max="6" width="9.44140625" customWidth="1"/>
    <col min="10" max="10" width="12.21875" bestFit="1" customWidth="1"/>
    <col min="11" max="11" width="8.44140625" customWidth="1"/>
    <col min="12" max="12" width="8" customWidth="1"/>
    <col min="14" max="14" width="12.6640625" customWidth="1"/>
  </cols>
  <sheetData>
    <row r="1" spans="1:14" x14ac:dyDescent="0.3">
      <c r="A1" t="s">
        <v>4</v>
      </c>
      <c r="B1" t="s">
        <v>0</v>
      </c>
      <c r="C1" t="s">
        <v>1</v>
      </c>
      <c r="D1" t="s">
        <v>2</v>
      </c>
      <c r="E1" t="s">
        <v>3</v>
      </c>
      <c r="F1" t="s">
        <v>7</v>
      </c>
      <c r="K1" s="3" t="s">
        <v>8</v>
      </c>
      <c r="L1" s="3" t="s">
        <v>9</v>
      </c>
      <c r="M1" s="3"/>
    </row>
    <row r="2" spans="1:14" x14ac:dyDescent="0.3">
      <c r="A2" s="2">
        <v>44743</v>
      </c>
      <c r="B2" s="1">
        <v>44743</v>
      </c>
      <c r="C2" s="5">
        <v>1</v>
      </c>
      <c r="D2" s="3">
        <v>0.52083333333333337</v>
      </c>
      <c r="E2" s="3">
        <v>0.90625</v>
      </c>
      <c r="F2" s="3"/>
      <c r="J2" t="s">
        <v>5</v>
      </c>
      <c r="K2" s="3">
        <v>0.54166666666666663</v>
      </c>
      <c r="L2" s="3">
        <v>0.91666666666666663</v>
      </c>
    </row>
    <row r="3" spans="1:14" x14ac:dyDescent="0.3">
      <c r="A3" s="2">
        <v>44746</v>
      </c>
      <c r="B3" s="1">
        <v>44746</v>
      </c>
      <c r="C3" s="5">
        <v>1</v>
      </c>
      <c r="D3" s="3">
        <v>0.53472222222222221</v>
      </c>
      <c r="E3" s="3">
        <v>0.91736111111111107</v>
      </c>
      <c r="F3" s="3"/>
      <c r="J3" t="s">
        <v>6</v>
      </c>
      <c r="K3" s="3">
        <v>0.58333333333333337</v>
      </c>
      <c r="L3" s="3">
        <v>0.95833333333333337</v>
      </c>
    </row>
    <row r="4" spans="1:14" x14ac:dyDescent="0.3">
      <c r="A4" s="2">
        <v>44747</v>
      </c>
      <c r="B4" s="1">
        <v>44747</v>
      </c>
      <c r="C4" s="5">
        <v>1</v>
      </c>
      <c r="D4" s="3">
        <v>0.53472222222222221</v>
      </c>
      <c r="E4" s="3">
        <v>0.9159722222222223</v>
      </c>
      <c r="F4" s="3"/>
      <c r="G4" s="3"/>
      <c r="H4" s="3"/>
      <c r="I4" s="3"/>
      <c r="N4" s="4"/>
    </row>
    <row r="5" spans="1:14" x14ac:dyDescent="0.3">
      <c r="A5" s="2">
        <v>44748</v>
      </c>
      <c r="B5" s="1">
        <v>44748</v>
      </c>
      <c r="C5" s="5">
        <v>1</v>
      </c>
      <c r="D5" s="3">
        <v>0.53541666666666665</v>
      </c>
      <c r="E5" s="3">
        <v>0.91736111111111107</v>
      </c>
      <c r="F5" s="3"/>
    </row>
    <row r="6" spans="1:14" x14ac:dyDescent="0.3">
      <c r="A6" s="2">
        <v>44749</v>
      </c>
      <c r="B6" s="1">
        <v>44749</v>
      </c>
      <c r="C6" s="5">
        <v>1</v>
      </c>
      <c r="D6" s="3">
        <v>0.54166666666666663</v>
      </c>
      <c r="E6" s="3">
        <v>0.91666666666666663</v>
      </c>
      <c r="F6" s="3"/>
    </row>
    <row r="7" spans="1:14" x14ac:dyDescent="0.3">
      <c r="A7" s="2">
        <v>44750</v>
      </c>
      <c r="B7" s="1">
        <v>44750</v>
      </c>
      <c r="C7" s="5">
        <v>1</v>
      </c>
      <c r="D7" s="3">
        <v>0.53541666666666665</v>
      </c>
      <c r="E7" s="3">
        <v>0.91736111111111107</v>
      </c>
      <c r="F7" s="3"/>
      <c r="G7" s="3"/>
    </row>
    <row r="8" spans="1:14" x14ac:dyDescent="0.3">
      <c r="A8" s="2">
        <v>44753</v>
      </c>
      <c r="B8" s="1">
        <v>44753</v>
      </c>
      <c r="C8" s="5">
        <v>1</v>
      </c>
      <c r="D8" s="3">
        <v>0.53263888888888888</v>
      </c>
      <c r="E8" s="3">
        <v>0.91736111111111107</v>
      </c>
      <c r="F8" s="3"/>
    </row>
    <row r="9" spans="1:14" x14ac:dyDescent="0.3">
      <c r="A9" s="2">
        <v>44754</v>
      </c>
      <c r="B9" s="1">
        <v>44754</v>
      </c>
      <c r="C9" s="5">
        <v>1</v>
      </c>
      <c r="D9" s="3">
        <v>0.53263888888888888</v>
      </c>
      <c r="E9" s="3">
        <v>0.91736111111111107</v>
      </c>
      <c r="F9" s="3"/>
    </row>
    <row r="10" spans="1:14" x14ac:dyDescent="0.3">
      <c r="A10" s="2">
        <v>44755</v>
      </c>
      <c r="B10" s="1">
        <v>44755</v>
      </c>
      <c r="C10" s="5">
        <v>1</v>
      </c>
      <c r="D10" s="3">
        <v>0.54305555555555551</v>
      </c>
      <c r="E10" s="3">
        <v>0.91736111111111107</v>
      </c>
      <c r="F10" s="3"/>
    </row>
    <row r="11" spans="1:14" x14ac:dyDescent="0.3">
      <c r="A11" s="2">
        <v>44756</v>
      </c>
      <c r="B11" s="1">
        <v>44756</v>
      </c>
      <c r="C11" s="5">
        <v>1</v>
      </c>
      <c r="D11" s="3">
        <v>0.53819444444444442</v>
      </c>
      <c r="E11" s="3">
        <v>0.91736111111111107</v>
      </c>
      <c r="F11" s="3"/>
    </row>
    <row r="12" spans="1:14" x14ac:dyDescent="0.3">
      <c r="A12" s="2">
        <v>44757</v>
      </c>
      <c r="B12" s="1">
        <v>44757</v>
      </c>
      <c r="C12" s="5">
        <v>1</v>
      </c>
      <c r="D12" s="3">
        <v>0.53819444444444442</v>
      </c>
      <c r="E12" s="3">
        <v>0.91736111111111107</v>
      </c>
      <c r="F12" s="3"/>
    </row>
    <row r="13" spans="1:14" x14ac:dyDescent="0.3">
      <c r="A13" s="2">
        <v>44760</v>
      </c>
      <c r="B13" s="1">
        <v>44760</v>
      </c>
      <c r="C13" s="5">
        <v>2</v>
      </c>
      <c r="D13" s="3">
        <v>0.53472222222222221</v>
      </c>
      <c r="E13" s="3">
        <v>0.91736111111111107</v>
      </c>
      <c r="F13" s="3"/>
    </row>
    <row r="14" spans="1:14" x14ac:dyDescent="0.3">
      <c r="A14" s="2">
        <v>44761</v>
      </c>
      <c r="B14" s="1">
        <v>44761</v>
      </c>
      <c r="C14" s="5">
        <v>2</v>
      </c>
      <c r="D14" s="3">
        <v>0.53472222222222221</v>
      </c>
      <c r="E14" s="3">
        <v>0.91736111111111107</v>
      </c>
      <c r="F14" s="3"/>
    </row>
    <row r="15" spans="1:14" x14ac:dyDescent="0.3">
      <c r="A15" s="2">
        <v>44762</v>
      </c>
      <c r="B15" s="1">
        <v>44762</v>
      </c>
      <c r="C15" s="5">
        <v>2</v>
      </c>
      <c r="D15" s="3">
        <v>0.53472222222222221</v>
      </c>
      <c r="E15" s="3">
        <v>0.9159722222222223</v>
      </c>
      <c r="F15" s="3"/>
    </row>
    <row r="16" spans="1:14" x14ac:dyDescent="0.3">
      <c r="A16" s="2">
        <v>44763</v>
      </c>
      <c r="B16" s="1">
        <v>44763</v>
      </c>
      <c r="C16" s="5">
        <v>2</v>
      </c>
      <c r="D16" s="3">
        <v>0.53541666666666665</v>
      </c>
      <c r="E16" s="3">
        <v>0.91736111111111107</v>
      </c>
      <c r="F16" s="3"/>
    </row>
    <row r="17" spans="1:7" x14ac:dyDescent="0.3">
      <c r="A17" s="2">
        <v>44764</v>
      </c>
      <c r="B17" s="1">
        <v>44764</v>
      </c>
      <c r="C17" s="5">
        <v>2</v>
      </c>
      <c r="D17" s="3">
        <v>0.54166666666666663</v>
      </c>
      <c r="E17" s="3">
        <v>0.91666666666666663</v>
      </c>
    </row>
    <row r="18" spans="1:7" x14ac:dyDescent="0.3">
      <c r="A18" s="2">
        <v>44767</v>
      </c>
      <c r="B18" s="1">
        <v>44767</v>
      </c>
      <c r="C18" s="5">
        <v>2</v>
      </c>
      <c r="D18" s="3">
        <v>0.53263888888888888</v>
      </c>
      <c r="E18" s="3">
        <v>0.91736111111111107</v>
      </c>
    </row>
    <row r="19" spans="1:7" x14ac:dyDescent="0.3">
      <c r="A19" s="2">
        <v>44768</v>
      </c>
      <c r="B19" s="1">
        <v>44768</v>
      </c>
      <c r="C19" s="5">
        <v>2</v>
      </c>
      <c r="D19" s="3">
        <v>0.53263888888888888</v>
      </c>
      <c r="E19" s="3">
        <v>0.91736111111111107</v>
      </c>
    </row>
    <row r="20" spans="1:7" x14ac:dyDescent="0.3">
      <c r="A20" s="2">
        <v>44769</v>
      </c>
      <c r="B20" s="1">
        <v>44769</v>
      </c>
      <c r="C20" s="5">
        <v>2</v>
      </c>
      <c r="D20" s="3">
        <v>0.53263888888888888</v>
      </c>
      <c r="E20" s="3">
        <v>0.91736111111111107</v>
      </c>
    </row>
    <row r="21" spans="1:7" x14ac:dyDescent="0.3">
      <c r="A21" s="2">
        <v>44770</v>
      </c>
      <c r="B21" s="1">
        <v>44770</v>
      </c>
      <c r="C21" s="5">
        <v>2</v>
      </c>
      <c r="D21" s="3">
        <v>0.54305555555555551</v>
      </c>
      <c r="E21" s="3">
        <v>0.91736111111111107</v>
      </c>
      <c r="G21" s="3"/>
    </row>
    <row r="22" spans="1:7" x14ac:dyDescent="0.3">
      <c r="A22" s="2">
        <v>44771</v>
      </c>
      <c r="B22" s="1">
        <v>44771</v>
      </c>
      <c r="C22" s="5">
        <v>2</v>
      </c>
      <c r="D22" s="3">
        <v>0.53819444444444442</v>
      </c>
      <c r="E22" s="3">
        <v>0.91736111111111107</v>
      </c>
    </row>
    <row r="23" spans="1:7" x14ac:dyDescent="0.3">
      <c r="B23" s="3"/>
    </row>
    <row r="24" spans="1:7" x14ac:dyDescent="0.3">
      <c r="B24" s="3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CF2B1-9CE2-4593-A841-68816172E8E6}">
  <sheetPr codeName="Sheet3"/>
  <dimension ref="A1:F22"/>
  <sheetViews>
    <sheetView workbookViewId="0">
      <selection activeCell="F10" sqref="F10"/>
    </sheetView>
  </sheetViews>
  <sheetFormatPr defaultRowHeight="14.4" x14ac:dyDescent="0.3"/>
  <cols>
    <col min="1" max="1" width="10.44140625" bestFit="1" customWidth="1"/>
    <col min="2" max="2" width="10.33203125" bestFit="1" customWidth="1"/>
    <col min="3" max="3" width="12.21875" bestFit="1" customWidth="1"/>
    <col min="4" max="4" width="10.44140625" bestFit="1" customWidth="1"/>
    <col min="5" max="5" width="12.21875" bestFit="1" customWidth="1"/>
    <col min="6" max="6" width="10.44140625" bestFit="1" customWidth="1"/>
  </cols>
  <sheetData>
    <row r="1" spans="1:6" x14ac:dyDescent="0.3">
      <c r="A1" t="s">
        <v>4</v>
      </c>
      <c r="B1" t="s">
        <v>0</v>
      </c>
      <c r="C1" t="s">
        <v>1</v>
      </c>
      <c r="D1" t="s">
        <v>2</v>
      </c>
      <c r="E1" t="s">
        <v>3</v>
      </c>
      <c r="F1" t="s">
        <v>10</v>
      </c>
    </row>
    <row r="2" spans="1:6" x14ac:dyDescent="0.3">
      <c r="A2" s="5" t="s">
        <v>11</v>
      </c>
      <c r="B2" s="1">
        <v>44743</v>
      </c>
      <c r="C2" s="5" t="s">
        <v>5</v>
      </c>
      <c r="D2" s="6">
        <v>0.52083333333333337</v>
      </c>
      <c r="E2" s="6">
        <v>0.90625</v>
      </c>
      <c r="F2" s="7" t="s">
        <v>12</v>
      </c>
    </row>
    <row r="3" spans="1:6" x14ac:dyDescent="0.3">
      <c r="A3" s="5" t="s">
        <v>13</v>
      </c>
      <c r="B3" s="1">
        <v>44746</v>
      </c>
      <c r="C3" s="5" t="s">
        <v>5</v>
      </c>
      <c r="D3" s="6">
        <v>0.53472222222222221</v>
      </c>
      <c r="E3" s="6">
        <v>0.91736111111111107</v>
      </c>
      <c r="F3" s="7" t="s">
        <v>14</v>
      </c>
    </row>
    <row r="4" spans="1:6" x14ac:dyDescent="0.3">
      <c r="A4" s="5" t="s">
        <v>15</v>
      </c>
      <c r="B4" s="1">
        <v>44747</v>
      </c>
      <c r="C4" s="5" t="s">
        <v>5</v>
      </c>
      <c r="D4" s="6">
        <v>0.53472222222222221</v>
      </c>
      <c r="E4" s="6">
        <v>0.91597222222222219</v>
      </c>
      <c r="F4" s="7" t="s">
        <v>12</v>
      </c>
    </row>
    <row r="5" spans="1:6" x14ac:dyDescent="0.3">
      <c r="A5" s="5" t="s">
        <v>16</v>
      </c>
      <c r="B5" s="1">
        <v>44748</v>
      </c>
      <c r="C5" s="5" t="s">
        <v>5</v>
      </c>
      <c r="D5" s="6">
        <v>0.53541666666666665</v>
      </c>
      <c r="E5" s="6">
        <v>0.91736111111111107</v>
      </c>
      <c r="F5" s="7" t="s">
        <v>14</v>
      </c>
    </row>
    <row r="6" spans="1:6" x14ac:dyDescent="0.3">
      <c r="A6" s="5" t="s">
        <v>17</v>
      </c>
      <c r="B6" s="1">
        <v>44749</v>
      </c>
      <c r="C6" s="5" t="s">
        <v>5</v>
      </c>
      <c r="D6" s="6">
        <v>0.54166666666666663</v>
      </c>
      <c r="E6" s="6">
        <v>0.91666666666666663</v>
      </c>
      <c r="F6" s="7" t="s">
        <v>14</v>
      </c>
    </row>
    <row r="7" spans="1:6" x14ac:dyDescent="0.3">
      <c r="A7" s="5" t="s">
        <v>11</v>
      </c>
      <c r="B7" s="1">
        <v>44750</v>
      </c>
      <c r="C7" s="5" t="s">
        <v>5</v>
      </c>
      <c r="D7" s="6">
        <v>0.53541666666666665</v>
      </c>
      <c r="E7" s="6">
        <v>0.91736111111111107</v>
      </c>
      <c r="F7" s="7" t="s">
        <v>14</v>
      </c>
    </row>
    <row r="8" spans="1:6" x14ac:dyDescent="0.3">
      <c r="A8" s="5" t="s">
        <v>13</v>
      </c>
      <c r="B8" s="1">
        <v>44753</v>
      </c>
      <c r="C8" s="5" t="s">
        <v>5</v>
      </c>
      <c r="D8" s="6">
        <v>0.53263888888888888</v>
      </c>
      <c r="E8" s="6">
        <v>0.91736111111111107</v>
      </c>
      <c r="F8" s="7" t="s">
        <v>14</v>
      </c>
    </row>
    <row r="9" spans="1:6" x14ac:dyDescent="0.3">
      <c r="A9" s="5" t="s">
        <v>15</v>
      </c>
      <c r="B9" s="1">
        <v>44754</v>
      </c>
      <c r="C9" s="5" t="s">
        <v>5</v>
      </c>
      <c r="D9" s="6">
        <v>0.53263888888888888</v>
      </c>
      <c r="E9" s="6">
        <v>0.91736111111111107</v>
      </c>
      <c r="F9" s="7" t="s">
        <v>14</v>
      </c>
    </row>
    <row r="10" spans="1:6" x14ac:dyDescent="0.3">
      <c r="A10" s="5" t="s">
        <v>16</v>
      </c>
      <c r="B10" s="1">
        <v>44755</v>
      </c>
      <c r="C10" s="5" t="s">
        <v>5</v>
      </c>
      <c r="D10" s="6">
        <v>0.54305555555555551</v>
      </c>
      <c r="E10" s="6">
        <v>0.91736111111111107</v>
      </c>
      <c r="F10" s="7" t="s">
        <v>18</v>
      </c>
    </row>
    <row r="11" spans="1:6" x14ac:dyDescent="0.3">
      <c r="A11" s="5" t="s">
        <v>17</v>
      </c>
      <c r="B11" s="1">
        <v>44756</v>
      </c>
      <c r="C11" s="5" t="s">
        <v>5</v>
      </c>
      <c r="D11" s="6">
        <v>0.53819444444444442</v>
      </c>
      <c r="E11" s="6">
        <v>0.91736111111111107</v>
      </c>
      <c r="F11" s="7" t="s">
        <v>14</v>
      </c>
    </row>
    <row r="12" spans="1:6" x14ac:dyDescent="0.3">
      <c r="A12" s="5" t="s">
        <v>11</v>
      </c>
      <c r="B12" s="1">
        <v>44757</v>
      </c>
      <c r="C12" s="5" t="s">
        <v>5</v>
      </c>
      <c r="D12" s="6">
        <v>0.53819444444444442</v>
      </c>
      <c r="E12" s="6">
        <v>0.91736111111111107</v>
      </c>
      <c r="F12" s="7" t="s">
        <v>14</v>
      </c>
    </row>
    <row r="13" spans="1:6" x14ac:dyDescent="0.3">
      <c r="A13" s="5" t="s">
        <v>13</v>
      </c>
      <c r="B13" s="1">
        <v>44760</v>
      </c>
      <c r="C13" s="5" t="s">
        <v>6</v>
      </c>
      <c r="D13" s="6">
        <v>0.53472222222222221</v>
      </c>
      <c r="E13" s="6">
        <v>0.91736111111111107</v>
      </c>
      <c r="F13" s="7" t="s">
        <v>14</v>
      </c>
    </row>
    <row r="14" spans="1:6" x14ac:dyDescent="0.3">
      <c r="A14" s="5" t="s">
        <v>15</v>
      </c>
      <c r="B14" s="1">
        <v>44761</v>
      </c>
      <c r="C14" s="5" t="s">
        <v>6</v>
      </c>
      <c r="D14" s="6">
        <v>0.53472222222222221</v>
      </c>
      <c r="E14" s="6">
        <v>0.91736111111111107</v>
      </c>
      <c r="F14" s="7" t="s">
        <v>14</v>
      </c>
    </row>
    <row r="15" spans="1:6" x14ac:dyDescent="0.3">
      <c r="A15" s="5" t="s">
        <v>16</v>
      </c>
      <c r="B15" s="1">
        <v>44762</v>
      </c>
      <c r="C15" s="5" t="s">
        <v>6</v>
      </c>
      <c r="D15" s="6">
        <v>0.53472222222222221</v>
      </c>
      <c r="E15" s="6">
        <v>0.91597222222222219</v>
      </c>
      <c r="F15" s="7" t="s">
        <v>12</v>
      </c>
    </row>
    <row r="16" spans="1:6" x14ac:dyDescent="0.3">
      <c r="A16" s="5" t="s">
        <v>17</v>
      </c>
      <c r="B16" s="1">
        <v>44763</v>
      </c>
      <c r="C16" s="5" t="s">
        <v>6</v>
      </c>
      <c r="D16" s="6">
        <v>0.53541666666666665</v>
      </c>
      <c r="E16" s="6">
        <v>0.91736111111111107</v>
      </c>
      <c r="F16" s="7" t="s">
        <v>14</v>
      </c>
    </row>
    <row r="17" spans="1:6" x14ac:dyDescent="0.3">
      <c r="A17" s="5" t="s">
        <v>11</v>
      </c>
      <c r="B17" s="1">
        <v>44764</v>
      </c>
      <c r="C17" s="5" t="s">
        <v>6</v>
      </c>
      <c r="D17" s="6">
        <v>0.54166666666666663</v>
      </c>
      <c r="E17" s="6">
        <v>0.91666666666666663</v>
      </c>
      <c r="F17" s="7" t="s">
        <v>14</v>
      </c>
    </row>
    <row r="18" spans="1:6" x14ac:dyDescent="0.3">
      <c r="A18" s="5" t="s">
        <v>13</v>
      </c>
      <c r="B18" s="1">
        <v>44767</v>
      </c>
      <c r="C18" s="5" t="s">
        <v>6</v>
      </c>
      <c r="D18" s="6">
        <v>0.53263888888888888</v>
      </c>
      <c r="E18" s="6">
        <v>0.91736111111111107</v>
      </c>
      <c r="F18" s="7" t="s">
        <v>14</v>
      </c>
    </row>
    <row r="19" spans="1:6" x14ac:dyDescent="0.3">
      <c r="A19" s="5" t="s">
        <v>15</v>
      </c>
      <c r="B19" s="1">
        <v>44768</v>
      </c>
      <c r="C19" s="5" t="s">
        <v>6</v>
      </c>
      <c r="D19" s="6">
        <v>0.53263888888888888</v>
      </c>
      <c r="E19" s="6">
        <v>0.91736111111111107</v>
      </c>
      <c r="F19" s="7" t="s">
        <v>14</v>
      </c>
    </row>
    <row r="20" spans="1:6" x14ac:dyDescent="0.3">
      <c r="A20" s="5" t="s">
        <v>16</v>
      </c>
      <c r="B20" s="1">
        <v>44769</v>
      </c>
      <c r="C20" s="5" t="s">
        <v>6</v>
      </c>
      <c r="D20" s="6">
        <v>0.53263888888888888</v>
      </c>
      <c r="E20" s="6">
        <v>0.91736111111111107</v>
      </c>
      <c r="F20" s="7" t="s">
        <v>14</v>
      </c>
    </row>
    <row r="21" spans="1:6" x14ac:dyDescent="0.3">
      <c r="A21" s="5" t="s">
        <v>17</v>
      </c>
      <c r="B21" s="1">
        <v>44770</v>
      </c>
      <c r="C21" s="5" t="s">
        <v>6</v>
      </c>
      <c r="D21" s="6">
        <v>0.54305555555555551</v>
      </c>
      <c r="E21" s="6">
        <v>0.91736111111111107</v>
      </c>
      <c r="F21" s="7" t="s">
        <v>18</v>
      </c>
    </row>
    <row r="22" spans="1:6" x14ac:dyDescent="0.3">
      <c r="A22" s="5" t="s">
        <v>11</v>
      </c>
      <c r="B22" s="1">
        <v>44771</v>
      </c>
      <c r="C22" s="5" t="s">
        <v>6</v>
      </c>
      <c r="D22" s="6">
        <v>0.53819444444444442</v>
      </c>
      <c r="E22" s="6">
        <v>0.91736111111111107</v>
      </c>
      <c r="F22" s="7" t="s">
        <v>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91DB2-37C5-4528-AB38-7FDDBBF3EF2D}">
  <sheetPr codeName="Sheet5"/>
  <dimension ref="A1:N23"/>
  <sheetViews>
    <sheetView workbookViewId="0">
      <selection activeCell="M4" sqref="M4"/>
    </sheetView>
  </sheetViews>
  <sheetFormatPr defaultRowHeight="14.4" x14ac:dyDescent="0.3"/>
  <cols>
    <col min="2" max="2" width="10.33203125" bestFit="1" customWidth="1"/>
    <col min="3" max="3" width="12.21875" bestFit="1" customWidth="1"/>
    <col min="4" max="4" width="10.44140625" style="9" bestFit="1" customWidth="1"/>
    <col min="5" max="5" width="12.21875" style="9" bestFit="1" customWidth="1"/>
    <col min="6" max="6" width="13.33203125" bestFit="1" customWidth="1"/>
    <col min="7" max="7" width="11.88671875" bestFit="1" customWidth="1"/>
    <col min="8" max="8" width="12.77734375" style="6" bestFit="1" customWidth="1"/>
    <col min="10" max="10" width="12.21875" bestFit="1" customWidth="1"/>
    <col min="11" max="11" width="14.21875" customWidth="1"/>
    <col min="12" max="12" width="8" customWidth="1"/>
    <col min="14" max="14" width="12.6640625" customWidth="1"/>
  </cols>
  <sheetData>
    <row r="1" spans="1:14" x14ac:dyDescent="0.3">
      <c r="A1" t="s">
        <v>4</v>
      </c>
      <c r="B1" t="s">
        <v>0</v>
      </c>
      <c r="C1" t="s">
        <v>1</v>
      </c>
      <c r="D1" s="9" t="s">
        <v>2</v>
      </c>
      <c r="E1" s="9" t="s">
        <v>3</v>
      </c>
      <c r="F1" t="s">
        <v>21</v>
      </c>
      <c r="G1" t="s">
        <v>22</v>
      </c>
      <c r="H1" s="6" t="s">
        <v>23</v>
      </c>
      <c r="K1" s="3"/>
      <c r="L1" s="3"/>
      <c r="M1" s="3"/>
    </row>
    <row r="2" spans="1:14" x14ac:dyDescent="0.3">
      <c r="A2" s="2">
        <v>44743</v>
      </c>
      <c r="B2" s="1">
        <v>44743</v>
      </c>
      <c r="C2" s="5">
        <v>1</v>
      </c>
      <c r="D2" s="9">
        <v>0.52083333333333337</v>
      </c>
      <c r="E2" s="9">
        <v>0.90625</v>
      </c>
      <c r="F2" s="3" t="s">
        <v>19</v>
      </c>
      <c r="G2" t="s">
        <v>20</v>
      </c>
      <c r="H2" s="6">
        <f>Table16[[#This Row],[TIME_OUT]]-Table16[[#This Row],[TIME_IN]]</f>
        <v>0.38541666666666663</v>
      </c>
      <c r="K2" s="8"/>
      <c r="L2" s="3"/>
    </row>
    <row r="3" spans="1:14" x14ac:dyDescent="0.3">
      <c r="A3" s="2">
        <v>44746</v>
      </c>
      <c r="B3" s="1">
        <v>44746</v>
      </c>
      <c r="C3" s="5">
        <v>1</v>
      </c>
      <c r="D3" s="9">
        <v>0.53472222222222221</v>
      </c>
      <c r="E3" s="9">
        <v>0.91736111111111107</v>
      </c>
      <c r="F3" s="3" t="s">
        <v>19</v>
      </c>
      <c r="G3" t="s">
        <v>19</v>
      </c>
      <c r="H3" s="6">
        <f>Table16[[#This Row],[TIME_OUT]]-Table16[[#This Row],[TIME_IN]]</f>
        <v>0.38263888888888886</v>
      </c>
      <c r="K3" s="6"/>
      <c r="L3" s="3"/>
    </row>
    <row r="4" spans="1:14" x14ac:dyDescent="0.3">
      <c r="A4" s="2">
        <v>44747</v>
      </c>
      <c r="B4" s="1">
        <v>44747</v>
      </c>
      <c r="C4" s="5">
        <v>1</v>
      </c>
      <c r="D4" s="9">
        <v>0.53472222222222221</v>
      </c>
      <c r="E4" s="9">
        <v>0.9159722222222223</v>
      </c>
      <c r="F4" s="3" t="s">
        <v>19</v>
      </c>
      <c r="G4" s="3" t="s">
        <v>20</v>
      </c>
      <c r="H4" s="6">
        <f>Table16[[#This Row],[TIME_OUT]]-Table16[[#This Row],[TIME_IN]]</f>
        <v>0.38125000000000009</v>
      </c>
      <c r="I4" s="3"/>
      <c r="N4" s="4"/>
    </row>
    <row r="5" spans="1:14" x14ac:dyDescent="0.3">
      <c r="A5" s="2">
        <v>44748</v>
      </c>
      <c r="B5" s="1">
        <v>44748</v>
      </c>
      <c r="C5" s="5">
        <v>1</v>
      </c>
      <c r="D5" s="9">
        <v>0.53541666666666665</v>
      </c>
      <c r="E5" s="9">
        <v>0.91736111111111107</v>
      </c>
      <c r="F5" s="3" t="s">
        <v>19</v>
      </c>
      <c r="G5" t="s">
        <v>19</v>
      </c>
      <c r="H5" s="6">
        <f>Table16[[#This Row],[TIME_OUT]]-Table16[[#This Row],[TIME_IN]]</f>
        <v>0.38194444444444442</v>
      </c>
    </row>
    <row r="6" spans="1:14" x14ac:dyDescent="0.3">
      <c r="A6" s="2">
        <v>44749</v>
      </c>
      <c r="B6" s="1">
        <v>44749</v>
      </c>
      <c r="C6" s="5">
        <v>1</v>
      </c>
      <c r="D6" s="9">
        <v>0.54166666666666663</v>
      </c>
      <c r="E6" s="9">
        <v>0.91666666666666663</v>
      </c>
      <c r="F6" s="3" t="s">
        <v>19</v>
      </c>
      <c r="G6" t="s">
        <v>19</v>
      </c>
      <c r="H6" s="6">
        <f>Table16[[#This Row],[TIME_OUT]]-Table16[[#This Row],[TIME_IN]]</f>
        <v>0.375</v>
      </c>
      <c r="J6" t="s">
        <v>7</v>
      </c>
      <c r="K6" t="s">
        <v>26</v>
      </c>
    </row>
    <row r="7" spans="1:14" x14ac:dyDescent="0.3">
      <c r="A7" s="2">
        <v>44750</v>
      </c>
      <c r="B7" s="1">
        <v>44750</v>
      </c>
      <c r="C7" s="5">
        <v>1</v>
      </c>
      <c r="D7" s="9">
        <v>0.53541666666666665</v>
      </c>
      <c r="E7" s="9">
        <v>0.91736111111111107</v>
      </c>
      <c r="F7" s="3" t="s">
        <v>19</v>
      </c>
      <c r="G7" s="3" t="s">
        <v>19</v>
      </c>
      <c r="H7" s="6">
        <f>Table16[[#This Row],[TIME_OUT]]-Table16[[#This Row],[TIME_IN]]</f>
        <v>0.38194444444444442</v>
      </c>
      <c r="J7" t="s">
        <v>24</v>
      </c>
      <c r="K7">
        <f>COUNTIF(Table16[Entry Status],"Late")</f>
        <v>4</v>
      </c>
    </row>
    <row r="8" spans="1:14" x14ac:dyDescent="0.3">
      <c r="A8" s="2">
        <v>44753</v>
      </c>
      <c r="B8" s="1">
        <v>44753</v>
      </c>
      <c r="C8" s="5">
        <v>1</v>
      </c>
      <c r="D8" s="9">
        <v>0.53263888888888888</v>
      </c>
      <c r="E8" s="9">
        <v>0.91736111111111107</v>
      </c>
      <c r="F8" s="3" t="s">
        <v>19</v>
      </c>
      <c r="G8" t="s">
        <v>19</v>
      </c>
      <c r="H8" s="6">
        <f>Table16[[#This Row],[TIME_OUT]]-Table16[[#This Row],[TIME_IN]]</f>
        <v>0.38472222222222219</v>
      </c>
      <c r="J8" t="s">
        <v>12</v>
      </c>
      <c r="K8">
        <f>COUNTIFS(Table16[Exit Status],"Early")</f>
        <v>10</v>
      </c>
    </row>
    <row r="9" spans="1:14" x14ac:dyDescent="0.3">
      <c r="A9" s="2">
        <v>44754</v>
      </c>
      <c r="B9" s="1">
        <v>44754</v>
      </c>
      <c r="C9" s="5">
        <v>1</v>
      </c>
      <c r="D9" s="9">
        <v>0.53263888888888888</v>
      </c>
      <c r="E9" s="9">
        <v>0.91736111111111107</v>
      </c>
      <c r="F9" s="3" t="s">
        <v>19</v>
      </c>
      <c r="G9" t="s">
        <v>19</v>
      </c>
      <c r="H9" s="6">
        <f>Table16[[#This Row],[TIME_OUT]]-Table16[[#This Row],[TIME_IN]]</f>
        <v>0.38472222222222219</v>
      </c>
      <c r="J9" t="s">
        <v>25</v>
      </c>
      <c r="K9">
        <f>COUNTIF(Table16[Total Hours],"&lt;09:00:00")</f>
        <v>5</v>
      </c>
    </row>
    <row r="10" spans="1:14" x14ac:dyDescent="0.3">
      <c r="A10" s="2">
        <v>44755</v>
      </c>
      <c r="B10" s="1">
        <v>44755</v>
      </c>
      <c r="C10" s="5">
        <v>1</v>
      </c>
      <c r="D10" s="9">
        <v>0.54305555555555551</v>
      </c>
      <c r="E10" s="9">
        <v>0.91736111111111107</v>
      </c>
      <c r="F10" s="3" t="s">
        <v>18</v>
      </c>
      <c r="G10" t="s">
        <v>19</v>
      </c>
      <c r="H10" s="6">
        <f>Table16[[#This Row],[TIME_OUT]]-Table16[[#This Row],[TIME_IN]]</f>
        <v>0.37430555555555556</v>
      </c>
    </row>
    <row r="11" spans="1:14" x14ac:dyDescent="0.3">
      <c r="A11" s="2">
        <v>44756</v>
      </c>
      <c r="B11" s="1">
        <v>44756</v>
      </c>
      <c r="C11" s="5">
        <v>1</v>
      </c>
      <c r="D11" s="9">
        <v>0.53819444444444442</v>
      </c>
      <c r="E11" s="9">
        <v>0.91736111111111107</v>
      </c>
      <c r="F11" s="3" t="s">
        <v>19</v>
      </c>
      <c r="G11" t="s">
        <v>19</v>
      </c>
      <c r="H11" s="6">
        <f>Table16[[#This Row],[TIME_OUT]]-Table16[[#This Row],[TIME_IN]]</f>
        <v>0.37916666666666665</v>
      </c>
    </row>
    <row r="12" spans="1:14" x14ac:dyDescent="0.3">
      <c r="A12" s="2">
        <v>44757</v>
      </c>
      <c r="B12" s="1">
        <v>44757</v>
      </c>
      <c r="C12" s="5">
        <v>1</v>
      </c>
      <c r="D12" s="9">
        <v>0.53819444444444442</v>
      </c>
      <c r="E12" s="9">
        <v>0.91736111111111107</v>
      </c>
      <c r="F12" s="3" t="s">
        <v>19</v>
      </c>
      <c r="G12" t="s">
        <v>19</v>
      </c>
      <c r="H12" s="6">
        <f>Table16[[#This Row],[TIME_OUT]]-Table16[[#This Row],[TIME_IN]]</f>
        <v>0.37916666666666665</v>
      </c>
    </row>
    <row r="13" spans="1:14" x14ac:dyDescent="0.3">
      <c r="A13" s="2">
        <v>44760</v>
      </c>
      <c r="B13" s="1">
        <v>44760</v>
      </c>
      <c r="C13" s="5">
        <v>2</v>
      </c>
      <c r="D13" s="9">
        <v>0.53472222222222221</v>
      </c>
      <c r="E13" s="9">
        <v>0.91736111111111107</v>
      </c>
      <c r="F13" s="3" t="s">
        <v>19</v>
      </c>
      <c r="G13" t="s">
        <v>20</v>
      </c>
      <c r="H13" s="6">
        <f>Table16[[#This Row],[TIME_OUT]]-Table16[[#This Row],[TIME_IN]]</f>
        <v>0.38263888888888886</v>
      </c>
    </row>
    <row r="14" spans="1:14" x14ac:dyDescent="0.3">
      <c r="A14" s="2">
        <v>44761</v>
      </c>
      <c r="B14" s="1">
        <v>44761</v>
      </c>
      <c r="C14" s="5">
        <v>2</v>
      </c>
      <c r="D14" s="9">
        <v>0.53472222222222221</v>
      </c>
      <c r="E14" s="9">
        <v>0.91736111111111107</v>
      </c>
      <c r="F14" s="3" t="s">
        <v>19</v>
      </c>
      <c r="G14" t="s">
        <v>20</v>
      </c>
      <c r="H14" s="6">
        <f>Table16[[#This Row],[TIME_OUT]]-Table16[[#This Row],[TIME_IN]]</f>
        <v>0.38263888888888886</v>
      </c>
    </row>
    <row r="15" spans="1:14" x14ac:dyDescent="0.3">
      <c r="A15" s="2">
        <v>44762</v>
      </c>
      <c r="B15" s="1">
        <v>44762</v>
      </c>
      <c r="C15" s="5">
        <v>2</v>
      </c>
      <c r="D15" s="9">
        <v>0.53472222222222221</v>
      </c>
      <c r="E15" s="9">
        <v>0.9159722222222223</v>
      </c>
      <c r="F15" s="3" t="s">
        <v>19</v>
      </c>
      <c r="G15" t="s">
        <v>20</v>
      </c>
      <c r="H15" s="6">
        <f>Table16[[#This Row],[TIME_OUT]]-Table16[[#This Row],[TIME_IN]]</f>
        <v>0.38125000000000009</v>
      </c>
    </row>
    <row r="16" spans="1:14" x14ac:dyDescent="0.3">
      <c r="A16" s="2">
        <v>44763</v>
      </c>
      <c r="B16" s="1">
        <v>44763</v>
      </c>
      <c r="C16" s="5">
        <v>2</v>
      </c>
      <c r="D16" s="9">
        <v>0.53541666666666665</v>
      </c>
      <c r="E16" s="9">
        <v>0.91736111111111107</v>
      </c>
      <c r="F16" s="3" t="s">
        <v>19</v>
      </c>
      <c r="G16" t="s">
        <v>20</v>
      </c>
      <c r="H16" s="6">
        <f>Table16[[#This Row],[TIME_OUT]]-Table16[[#This Row],[TIME_IN]]</f>
        <v>0.38194444444444442</v>
      </c>
    </row>
    <row r="17" spans="1:8" x14ac:dyDescent="0.3">
      <c r="A17" s="2">
        <v>44764</v>
      </c>
      <c r="B17" s="1">
        <v>44764</v>
      </c>
      <c r="C17" s="5">
        <v>2</v>
      </c>
      <c r="D17" s="9">
        <v>0.54166666666666663</v>
      </c>
      <c r="E17" s="9">
        <v>0.91666666666666663</v>
      </c>
      <c r="F17" t="s">
        <v>19</v>
      </c>
      <c r="G17" t="s">
        <v>20</v>
      </c>
      <c r="H17" s="6">
        <f>Table16[[#This Row],[TIME_OUT]]-Table16[[#This Row],[TIME_IN]]</f>
        <v>0.375</v>
      </c>
    </row>
    <row r="18" spans="1:8" x14ac:dyDescent="0.3">
      <c r="A18" s="2">
        <v>44767</v>
      </c>
      <c r="B18" s="1">
        <v>44767</v>
      </c>
      <c r="C18" s="5">
        <v>2</v>
      </c>
      <c r="D18" s="9">
        <v>0.53263888888888888</v>
      </c>
      <c r="E18" s="9">
        <v>0.91736111111111107</v>
      </c>
      <c r="F18" t="s">
        <v>19</v>
      </c>
      <c r="G18" t="s">
        <v>20</v>
      </c>
      <c r="H18" s="6">
        <f>Table16[[#This Row],[TIME_OUT]]-Table16[[#This Row],[TIME_IN]]</f>
        <v>0.38472222222222219</v>
      </c>
    </row>
    <row r="19" spans="1:8" x14ac:dyDescent="0.3">
      <c r="A19" s="2">
        <v>44768</v>
      </c>
      <c r="B19" s="1">
        <v>44768</v>
      </c>
      <c r="C19" s="5">
        <v>2</v>
      </c>
      <c r="D19" s="9">
        <v>0.61597222222222225</v>
      </c>
      <c r="E19" s="9">
        <v>0.9590277777777777</v>
      </c>
      <c r="F19" t="s">
        <v>18</v>
      </c>
      <c r="G19" t="s">
        <v>19</v>
      </c>
      <c r="H19" s="6">
        <f>Table16[[#This Row],[TIME_OUT]]-Table16[[#This Row],[TIME_IN]]</f>
        <v>0.34305555555555545</v>
      </c>
    </row>
    <row r="20" spans="1:8" x14ac:dyDescent="0.3">
      <c r="A20" s="2">
        <v>44769</v>
      </c>
      <c r="B20" s="1">
        <v>44769</v>
      </c>
      <c r="C20" s="5">
        <v>2</v>
      </c>
      <c r="D20" s="9">
        <v>0.53263888888888888</v>
      </c>
      <c r="E20" s="9">
        <v>0.91736111111111107</v>
      </c>
      <c r="F20" t="s">
        <v>19</v>
      </c>
      <c r="G20" t="s">
        <v>20</v>
      </c>
      <c r="H20" s="6">
        <f>Table16[[#This Row],[TIME_OUT]]-Table16[[#This Row],[TIME_IN]]</f>
        <v>0.38472222222222219</v>
      </c>
    </row>
    <row r="21" spans="1:8" x14ac:dyDescent="0.3">
      <c r="A21" s="2">
        <v>44770</v>
      </c>
      <c r="B21" s="1">
        <v>44770</v>
      </c>
      <c r="C21" s="5">
        <v>2</v>
      </c>
      <c r="D21" s="9">
        <v>0.54305555555555551</v>
      </c>
      <c r="E21" s="9">
        <v>0.91736111111111107</v>
      </c>
      <c r="F21" t="s">
        <v>19</v>
      </c>
      <c r="G21" s="3" t="s">
        <v>20</v>
      </c>
      <c r="H21" s="6">
        <f>Table16[[#This Row],[TIME_OUT]]-Table16[[#This Row],[TIME_IN]]</f>
        <v>0.37430555555555556</v>
      </c>
    </row>
    <row r="22" spans="1:8" x14ac:dyDescent="0.3">
      <c r="A22" s="2">
        <v>44771</v>
      </c>
      <c r="B22" s="1">
        <v>44771</v>
      </c>
      <c r="C22" s="5">
        <v>2</v>
      </c>
      <c r="D22" s="9">
        <v>0.62152777777777779</v>
      </c>
      <c r="E22" s="9">
        <v>0.96597222222222223</v>
      </c>
      <c r="F22" t="s">
        <v>18</v>
      </c>
      <c r="G22" t="s">
        <v>19</v>
      </c>
      <c r="H22" s="6">
        <f>Table16[[#This Row],[TIME_OUT]]-Table16[[#This Row],[TIME_IN]]</f>
        <v>0.34444444444444444</v>
      </c>
    </row>
    <row r="23" spans="1:8" x14ac:dyDescent="0.3">
      <c r="A23" s="2">
        <v>44771</v>
      </c>
      <c r="B23" s="1">
        <v>44771</v>
      </c>
      <c r="C23" s="10">
        <v>2</v>
      </c>
      <c r="D23" s="9">
        <v>0.62152777777777779</v>
      </c>
      <c r="E23" s="9">
        <v>0.96597222222222223</v>
      </c>
      <c r="F23" t="s">
        <v>18</v>
      </c>
      <c r="G23" t="s">
        <v>19</v>
      </c>
      <c r="H23" s="6">
        <f>Table16[[#This Row],[TIME_OUT]]-Table16[[#This Row],[TIME_IN]]</f>
        <v>0.34444444444444444</v>
      </c>
    </row>
  </sheetData>
  <conditionalFormatting sqref="K3">
    <cfRule type="cellIs" dxfId="9" priority="5" operator="equal">
      <formula>"early"</formula>
    </cfRule>
  </conditionalFormatting>
  <conditionalFormatting sqref="F1:F1048576">
    <cfRule type="containsText" dxfId="8" priority="3" operator="containsText" text="Late">
      <formula>NOT(ISERROR(SEARCH("Late",F1)))</formula>
    </cfRule>
  </conditionalFormatting>
  <conditionalFormatting sqref="G1:G1048576">
    <cfRule type="containsText" dxfId="7" priority="4" operator="containsText" text="Early">
      <formula>NOT(ISERROR(SEARCH("Early",G1)))</formula>
    </cfRule>
  </conditionalFormatting>
  <conditionalFormatting sqref="H2:H23">
    <cfRule type="cellIs" dxfId="6" priority="1" operator="lessThan">
      <formula>0.375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DF3D8B-F5FF-4D06-BBCE-733F8FBB8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Result with Powerquery</vt:lpstr>
      <vt:lpstr>Final VBA</vt:lpstr>
      <vt:lpstr>Entry_Status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Desai</dc:creator>
  <cp:lastModifiedBy>Dev</cp:lastModifiedBy>
  <dcterms:created xsi:type="dcterms:W3CDTF">2022-07-02T04:38:30Z</dcterms:created>
  <dcterms:modified xsi:type="dcterms:W3CDTF">2022-08-19T07:29:38Z</dcterms:modified>
</cp:coreProperties>
</file>